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estudianteccr-my.sharepoint.com/personal/sebasr_ferval_estudiantec_cr/Documents/8 Semestre/Asistencia/Bases de Datos 1/Proyecto 1/"/>
    </mc:Choice>
  </mc:AlternateContent>
  <xr:revisionPtr revIDLastSave="1041" documentId="8_{4D80F0E7-2BA9-4C02-9A03-A96E942F274B}" xr6:coauthVersionLast="47" xr6:coauthVersionMax="47" xr10:uidLastSave="{009D6769-9571-4368-802A-E2B9C5BB4E07}"/>
  <bookViews>
    <workbookView xWindow="-120" yWindow="-120" windowWidth="29040" windowHeight="15720" xr2:uid="{8E1BA44A-F66A-4B42-8417-3116C2B3EDEB}"/>
  </bookViews>
  <sheets>
    <sheet name="Rúbrica Proyecto 1 - Versión 6" sheetId="1" r:id="rId1"/>
  </sheets>
  <functionGroups builtInGroupCount="19"/>
  <calcPr calcId="191029"/>
  <pivotCaches>
    <pivotCache cacheId="0" r:id="rId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1" l="1" a="1"/>
  <c r="D5" i="1" a="1"/>
  <c r="D17" i="1" a="1"/>
  <c r="D23" i="1" a="1"/>
  <c r="D29" i="1" a="1"/>
  <c r="D6" i="1" a="1"/>
  <c r="D18" i="1" a="1"/>
  <c r="D30" i="1" a="1"/>
  <c r="D19" i="1" a="1"/>
  <c r="D31" i="1" a="1"/>
  <c r="D8" i="1" a="1"/>
  <c r="D26" i="1" a="1"/>
  <c r="D21" i="1" a="1"/>
  <c r="D22" i="1" a="1"/>
  <c r="D11" i="1" a="1"/>
  <c r="D12" i="1" a="1"/>
  <c r="D24" i="1" a="1"/>
  <c r="D13" i="1" a="1"/>
  <c r="D25" i="1" a="1"/>
  <c r="D14" i="1" a="1"/>
  <c r="D20" i="1" a="1"/>
  <c r="D32" i="1" a="1"/>
  <c r="D27" i="1" a="1"/>
  <c r="D33" i="1" a="1"/>
  <c r="D16" i="1" a="1"/>
  <c r="D28" i="1" a="1"/>
  <c r="D7" i="1" a="1"/>
  <c r="D15" i="1" a="1"/>
  <c r="D10" i="1" a="1"/>
  <c r="D9" i="1" a="1"/>
  <c r="D3" i="1" a="1"/>
  <c r="D9" i="1" l="1"/>
  <c r="D10" i="1"/>
  <c r="D15" i="1"/>
  <c r="D7" i="1"/>
  <c r="D28" i="1"/>
  <c r="D16" i="1"/>
  <c r="D33" i="1"/>
  <c r="D27" i="1"/>
  <c r="D32" i="1"/>
  <c r="D20" i="1"/>
  <c r="D14" i="1"/>
  <c r="D25" i="1"/>
  <c r="D13" i="1"/>
  <c r="D24" i="1"/>
  <c r="D12" i="1"/>
  <c r="D11" i="1"/>
  <c r="D22" i="1"/>
  <c r="D21" i="1"/>
  <c r="D26" i="1"/>
  <c r="D8" i="1"/>
  <c r="D31" i="1"/>
  <c r="D19" i="1"/>
  <c r="D30" i="1"/>
  <c r="D18" i="1"/>
  <c r="D6" i="1"/>
  <c r="D29" i="1"/>
  <c r="D23" i="1"/>
  <c r="D17" i="1"/>
  <c r="D5" i="1"/>
  <c r="D4" i="1"/>
  <c r="D3" i="1"/>
  <c r="D34" i="1" l="1"/>
  <c r="C3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<sst xmlns="http://schemas.openxmlformats.org/spreadsheetml/2006/main" count="214" uniqueCount="159">
  <si>
    <t>Excelente</t>
  </si>
  <si>
    <t>Muy bueno</t>
  </si>
  <si>
    <t>Regular</t>
  </si>
  <si>
    <t>Deficiente</t>
  </si>
  <si>
    <t>Aceptable</t>
  </si>
  <si>
    <t>Respaldo de Scripts</t>
  </si>
  <si>
    <t>Diccionario de Datos</t>
  </si>
  <si>
    <t>No hay entregable.</t>
  </si>
  <si>
    <t>Se posee el diccionario de datos con un valor entre el 89% y el 80% de los datos presentes en la base de datos utilizada.</t>
  </si>
  <si>
    <t>Se posee el diccionario de datos con un valor entre el 94% y el 90% de los datos presentes en la base de datos utilizada.</t>
  </si>
  <si>
    <t>Se posee el diccionario de datos con un valor entre el 99% y el 95% de los datos presentes en la base de datos utilizada.</t>
  </si>
  <si>
    <t>Se posee el diccionario de datos con un 100% de los datos presentes en la base de datos utilizada.</t>
  </si>
  <si>
    <t>Manual de Usuario</t>
  </si>
  <si>
    <t>El manual presenta profesionalidad, es agradable a la vista y contiene entre un 99% y un 90% de la explicación del uso del sistema. Se hace uso de imágenes significativas como complemento a las explciaciones a lo largo del documento.</t>
  </si>
  <si>
    <t>El manual presenta cierto nivel de profesionalidad, es agradable a la vista y contiene entre un 89% y un 80% de la explicación del uso del sistema. Se hace cierto uso de imágenes significativas como complemento a las explciaciones a lo largo del documento.</t>
  </si>
  <si>
    <t>El manual no es agradable de leer. Incluye menos del 80% de la explicación del uso del sistema. Menos del 80% de las funcionalidades importantes está documentadas con imágenes significativas.</t>
  </si>
  <si>
    <t>Casos de Prueba</t>
  </si>
  <si>
    <t xml:space="preserve">Presenta 50 casos de prueba, como mínimo, documentados con su respectivo estado (Certificado, Con Errores, Pendiente) y se puede comprobar que los estados son consistentes con el sistema. El 90% de los casos de prueba (45) se relacionan a procesos críticos. Al menos un 80% (40) de los casos de prueba críticos están Certificados. Se presenta una tabla pivote con el resumen de los estados. </t>
  </si>
  <si>
    <t xml:space="preserve">Presenta 50 casos de prueba, como mínimo, documentados con su respectivo estado (Certificado, Con Errores, Pendiente) y se puede comprobar que los estados son consistentes con el sistema. El 80% de los casos de prueba (40) se relacionan a procesos críticos. Al menos un 70% (35) de los casos de prueba críticos están Certificados. Se presenta una tabla pivote con el resumen de los estados. </t>
  </si>
  <si>
    <t>Presenta menos de 50 casos de prueba documentados con su respectivo estado (Certificado, Con Errores, Pendiente) o es imposible comprobar si los estados son consistentes con el sistema. Presenta menos de un 70% de casos de prueba de procesos críticos. Algunos casos de prueba son irrelevantes, no tienen estado o están incompletos.</t>
  </si>
  <si>
    <t xml:space="preserve">Presenta menos de 50 casos de prueba documentados con su respectivo estado (Certificado, Con Errores, Pendiente) o es imposible comprobar si los estados son consistentes con el sistema. Presenta menos de un 50% de casos de prueba de procesos críticos. </t>
  </si>
  <si>
    <t>Diseño Orientado a Capas</t>
  </si>
  <si>
    <t>Aplica una separación de capaz de manera correcta, lógica y estable.</t>
  </si>
  <si>
    <t>El sistema posee un sistema de capaz, pero requiere mejoras leves.</t>
  </si>
  <si>
    <t>El sistema no posee un diseño orientado a capaz.</t>
  </si>
  <si>
    <t>Clean Code</t>
  </si>
  <si>
    <t>Se aplican principios básicos del libro Clean Code para aumentar la mantenibilidad del código.</t>
  </si>
  <si>
    <t>Aplica principios de Clean Code, pero requiere mejoras leves.</t>
  </si>
  <si>
    <t>El código no está debidamente documentado.</t>
  </si>
  <si>
    <t>Seguridad - Inicio de Sesión</t>
  </si>
  <si>
    <t>Se inicia sesión correctamente utilizando una combinación de nombre de usuario y contraseña. Cuando los datos son incorrectos se muestra un error correspondiente. Las contraseñas son guardadas con encriptación según un algoritmo de la industria (RSA, DSA, R5,etc.). Posee reglas de validación tales como tener combinaciones de letras mayusculas, minusculas, números y caracteres.</t>
  </si>
  <si>
    <t>Se puede iniciar sesión correctamente, pero necesita mejoras leves.</t>
  </si>
  <si>
    <t>No se puede iniciar sesión correctamente</t>
  </si>
  <si>
    <t>Al iniciar sesión se presentan errores, o la contraseña no se encuentra encriptada en la base de datos. Las contraseñas no poseen reglas de validación o límites de seguridad.</t>
  </si>
  <si>
    <t>Campos de Auditoría</t>
  </si>
  <si>
    <t>El 100% de las tablas del proyecto poseen los campos de auditoría debidamente identificados y funcionales.</t>
  </si>
  <si>
    <t>Entre un 99% y un 95% de las tablas del proyecto poseen los campos de auditoría debidamente identificados y funcionales.</t>
  </si>
  <si>
    <t>Entre un 89% y un 80% de las tablas del proyecto poseen los campos de auditoría debidamente identificados y funcionales.</t>
  </si>
  <si>
    <t>Menos del 80% de las tablas del proyecto poseen los campos de auditoría debidamente identificados y funcionales.</t>
  </si>
  <si>
    <t>El sistema es estable y robusto. Utiliza correctamente el manejo de errores y no falla. Los intentos de hacer el sistema fallar por parte del usuario son inútiles.</t>
  </si>
  <si>
    <t>El sistema es estable y robusto. Posee el manejo de errores y excepciones pero requiere leves mejoras.</t>
  </si>
  <si>
    <t>El sistema no es estable. No utiliza el manejo de excepciones.</t>
  </si>
  <si>
    <t>Registro de Datos</t>
  </si>
  <si>
    <t>Los datos necesarios para el sistema se ingresan correctamente a la base de datos y se mantienen estables mientras se hacen más registros. Cuando se actualiza un dato este lo hace de manera correcta sin generar errores o inconsistencias. Los parámetros necesarios por cada entidad son debidamente almacenados en la base de datos</t>
  </si>
  <si>
    <t>Los datos se ingresan correctamente pero existen errores leves en la base de datos que no terminan de afectar considerablemente el sistema. Puede presentar lectura de datos inconsistentes. Al actualizar los datos, puede haber lecturas de datos inconsistentes con los datos pedidos.</t>
  </si>
  <si>
    <t>Presenta errores al ingresar cualquier información a la base de datos. Se presentan errores de integridad en relaciones de los datos. No actualiza correctamente las tablas a la hora de querer modificar algún dato.</t>
  </si>
  <si>
    <t>Generación del listado dirario de posiciones</t>
  </si>
  <si>
    <t>Bitácora</t>
  </si>
  <si>
    <t>Los cambios realizados en los catálogos se guardan en la bitácora. Debe almacenar fecha, hora, tipo de cambio, objeto, descripción del cambio y el nombre del usuario que lo realizó.</t>
  </si>
  <si>
    <t>Se tiene una bitácora pero requiere leves mejoras.</t>
  </si>
  <si>
    <t>No se encuentra la bitácora en el sistema</t>
  </si>
  <si>
    <t>Catálogos</t>
  </si>
  <si>
    <t>Toda la información del sistema es ingresada desde la aplicación y no desde la base de datos. Todo ingreso debe tener su respectiva pantalla en el front end para el registro, modificación y eliminación de cada registro de catálogos.</t>
  </si>
  <si>
    <t>Entre un 99% y un 95% de los datos son parametrizables en el catálogo.</t>
  </si>
  <si>
    <t>Menos del 80% de los datos son parametrizables o no están debidamente parametrizados.</t>
  </si>
  <si>
    <t>Entre un 94% y un 90% de los datos son parametrizables en el catálogo.</t>
  </si>
  <si>
    <t>Entre un 89% y un 80% de los datos son parametrizables en el catálogo.</t>
  </si>
  <si>
    <t>Datos Utilizados</t>
  </si>
  <si>
    <t xml:space="preserve">Los datos utilizados por los estudiantes son consistentes con un sistema real y está correctamente clasificados. Los datos pueden ser inventados pero no pueden ser datos basura. </t>
  </si>
  <si>
    <t>Los datos ingresados por los estudiantes no son relevantes y no se encuentran clasificados.</t>
  </si>
  <si>
    <t>Redacción y Ortografía</t>
  </si>
  <si>
    <t>Aspecto Visual</t>
  </si>
  <si>
    <t>Parametrización</t>
  </si>
  <si>
    <t>Integridad</t>
  </si>
  <si>
    <t>El sistema y la documentación no tienen faltas de ortografía.</t>
  </si>
  <si>
    <t>El sistema o documentación presenta 1 o 2 faltas de ortografía.</t>
  </si>
  <si>
    <t>El sistema o la documentación presentan más de 2 faltas de ortografía.</t>
  </si>
  <si>
    <t>La aplicación es sobresalientemente agradable a la vista y cumple un 100% con la usabilidad. Los campos tienen etiquetas que los identifican y formatos para saber cómo se debe ingresar la información o si un campo es requerido.</t>
  </si>
  <si>
    <t>La aplicación es agradable a la vista en un 80% de las pantallas y cumple con la usabilidad. No tiene todas las etiquetas y formatos.</t>
  </si>
  <si>
    <t>La aplicación es agradable a la vista en un 90% de las pantallas y cumple con la usabilidad. No tiene todas las etiquetas y formatos.</t>
  </si>
  <si>
    <t>La aplicación no es agradable a la vista y no cumple con la usabilidad en un 70% de las pantallas.</t>
  </si>
  <si>
    <t>La aplicación no es agradable a la vista y no cumple con la usabilidad en el 50% de sus pantallas.</t>
  </si>
  <si>
    <t>El sistema posee parametrización, pero requiere leves mejoras.</t>
  </si>
  <si>
    <t>El sistema no está parametrizado.</t>
  </si>
  <si>
    <t>No permite el ingreso de datos basura en la base de datos que puedan producir errores de integridad e inconsistencia.</t>
  </si>
  <si>
    <t>Entre un 99% y un 95% del sistema no permite ingresar datos basura.</t>
  </si>
  <si>
    <t>Entre un 94% y un 90% del sistema no permite ingresar datos basura.</t>
  </si>
  <si>
    <t>Entre un 89% y un 80% del sistema no permite ingresar datos basura.</t>
  </si>
  <si>
    <t>Menos del 80% del sistema no permite ingresar datos basura.</t>
  </si>
  <si>
    <t>La generación funciona pero requiere leves mejoras.</t>
  </si>
  <si>
    <t>No se tiene una generación del listado diario de posiciones.</t>
  </si>
  <si>
    <t>La consulta no funciona correctamente o no se encuentra en el sistema.</t>
  </si>
  <si>
    <t>Estadisticas: Participantes por género</t>
  </si>
  <si>
    <t>Estadisticas: Participantes por deporte</t>
  </si>
  <si>
    <t>Estadisticas: Deportistas por rango de edad</t>
  </si>
  <si>
    <t>Estadisticas: Participantes por género y deporte</t>
  </si>
  <si>
    <t>Estadisticas: Deportistas por rango de edad y deporte</t>
  </si>
  <si>
    <t>Consultas: Bitácora</t>
  </si>
  <si>
    <t>Consultas: Listado de Entrenadores</t>
  </si>
  <si>
    <t>Consultas: Listado de Participantes</t>
  </si>
  <si>
    <t>La consulta de la lista de administradores funciona pero requiere leves mejoras.</t>
  </si>
  <si>
    <t>La consulta de la lista de entrenadores funciona pero requiere leves mejoras.</t>
  </si>
  <si>
    <t>La consulta de la lista de participantes funciona pero requiere leves mejoras.</t>
  </si>
  <si>
    <t>Consultas: Listado de administradores</t>
  </si>
  <si>
    <t>Consultas: Listado de deportistas con record mundial</t>
  </si>
  <si>
    <t>La consulta del listado de ganadores de records funciona pero requiere leves mejoras.</t>
  </si>
  <si>
    <t>Consultas: Ranking de países y de medallas obtenidas</t>
  </si>
  <si>
    <t>Consultas: Listado de deportes</t>
  </si>
  <si>
    <t>Consultas: Top 5 mejores puntajes.</t>
  </si>
  <si>
    <t>No se presenta la información de los datos en su totalidad o poseen errores graves como inconsistencias en los datos.</t>
  </si>
  <si>
    <t>La consulta del ranking de países y medallas obtenidas existe pero requiere de leves mejoras.</t>
  </si>
  <si>
    <t>La consulta del listado de deportes existe pero requiere de leves mejoras.</t>
  </si>
  <si>
    <t>La consulta del top 5 mejores puntajes existe pero requiere de leves mejoras.</t>
  </si>
  <si>
    <t>La consulta a bitácora existe pero requiere leves mejoras.</t>
  </si>
  <si>
    <t>La consulta del ranking de países y medallas obtenidas existe pero presenta algunos defectos que empiezan a ser considerables.</t>
  </si>
  <si>
    <t>Fue posible comprobar el ranking de países y medallas obtenidas de mayor a menor. Incluye ranking, bandera, país, cantidad de medallas de oro, plata y bronce. La información mostrada en pantalla es correcta y carece de errores. Los filtros funcionan correctamente.</t>
  </si>
  <si>
    <t>Fue posible comprobar el listado de deportes con su respectiva agenda y participantes de cada evento. La información mostrada en pantalla es correcta y carece de errores. Los filtros funcionan correctamente.</t>
  </si>
  <si>
    <t>Fue posible comprobar el top 5 mejores puntajes y muestra al competidor, el deporte, el país y el puntaje. La información mostrada en pantalla es correcta y carece de errores. Los filtros funcionan correctamente.</t>
  </si>
  <si>
    <t>Fue posible comprobar las consultas a bitácora. La información mostrada en pantalla es correcta y carece de errores. Los filtros de rango de fecha, hora, tipo de cambio, objeto y usuario, además de funcionar correctamente.</t>
  </si>
  <si>
    <t>La consulta a bitácora existe presenta algunos defectos importantes y requiere mejoras considerables.</t>
  </si>
  <si>
    <t>La consulta del top 5 mejores puntajes existe pero presenta algunos defectos importantes y requiere mejoras considerables.</t>
  </si>
  <si>
    <t>La consulta del listado de deportes existe pero presenta algunos defectos importantes y requiere mejoras considerables.</t>
  </si>
  <si>
    <t>La consulta de la lista de participantes existe presenta algunos defectos importantes y requiere mejoras considerables.</t>
  </si>
  <si>
    <t>La consulta de la lista de entrenadores existe pero presenta algunos defectos importantes y requiere mejoras considerables.</t>
  </si>
  <si>
    <t>La consulta de la lista de administradores existe pero presenta algunos defectos importantes y requiere mejoras considerables.</t>
  </si>
  <si>
    <t>La consulta del listado de ganadores de records existe pero presenta algunos defectos importantes y requiere mejoras considerables.</t>
  </si>
  <si>
    <t>Fue posible comprobar las estadísticas del total y porcentaje de participantes por deporte. La información mostrada en pantalla es correcta y carece de errores. Los filtros funcionan correctamente.</t>
  </si>
  <si>
    <t>Fue posible comprobar las estadísticas del total y porcentaje de participantes por género. La información mostrada en pantalla es correcta y carece de errores. Los filtros funcionan correctamente.</t>
  </si>
  <si>
    <t>Fue posible comprobar las estadísticas del total y porcentaje de participantes por género y deporte. La información mostrada en pantalla es correcta y carece de errores. Los filtros funcionan correctamente.</t>
  </si>
  <si>
    <t>Fue posible comprobar las estadísticas del total de participantes por rango de edad. La información mostrada en pantalla es correcta y carece de errores. Los filtros funcionan correctamente.</t>
  </si>
  <si>
    <t>Fue posible comprobar las estadísticas del total de participantes por rango de edad y deporte. La información mostrada en pantalla es correcta y carece de errores. Los filtros funcionan correctamente.</t>
  </si>
  <si>
    <t>La sección del módulo de estadística no funciona correctamente o no se encuentra en el sistema.</t>
  </si>
  <si>
    <t>Las estadísticas del total y porcentaje de participantes por deporte existen pero requiere de leves mejoras.</t>
  </si>
  <si>
    <t>Las estadísticas del total y porcentaje de participantes por género existen pero requiere de leves mejoras.</t>
  </si>
  <si>
    <t>Las estadísticas del total y porcentaje de participantes por género y deporte existen pero requiere de leves mejoras.</t>
  </si>
  <si>
    <t>Las estadísticas del total y porcentaje de participantes por deporte existen pero presenta algunos defectos importantes y requiere mejoras considerables.</t>
  </si>
  <si>
    <t>Las estadísticas del total y porcentaje de participantes por género existen pero presenta algunos defectos importantes y requiere mejoras considerables.</t>
  </si>
  <si>
    <t>Las estadísticas del total y porcentaje de participantes por género y deporte existen pero presenta algunos defectos importantes y requiere mejoras considerables.</t>
  </si>
  <si>
    <t>Las estadísticas del total de participantes por rango de edad existen pero requiere de leves mejoras.</t>
  </si>
  <si>
    <t>Las estadísticas del total de participantes por rango de edad existen pero presenta algunos defectos importantes y requiere mejoras considerables.</t>
  </si>
  <si>
    <t>Las estadísticas del total de participantes por rango de edad y deporte existen pero requiere de leves mejoras.</t>
  </si>
  <si>
    <t>Las estadísticas del total de participantes por rango de edad y deporte existen pero presenta algunos defectos importantes y requiere mejoras considerables.</t>
  </si>
  <si>
    <t>Fue posible comprobar el listado de administradores ingresados en la base de datos. La información mostrada en pantalla es correcta y carece de errores. Se cumple con el filtros mínimo del nombre,  además de funcionar correctamente. Muestra el total de personas consultadas de forma correcta.</t>
  </si>
  <si>
    <t>Fue posible comprobar el listado de deportistas que han ganado un record mundial y contiene la información del record, el deporte, país al que pertenece y olimpiada en la que se hicieron dichos records. La información mostrada en pantalla es correcta y carece de errores.  Muestra el total de personas consultadas de forma correcta.</t>
  </si>
  <si>
    <t>Fue posible comprobar el listado de entrenadores ingresados en la base de datos. La información mostrada en pantalla es correcta y carece de errores. Se cumple con los filtros mínimos de nombre, país que representa y olimpiada, además de funcionar correctamente. Muestra el total de personas consultadas de forma correcta. Muestra el total de personas consultadas de forma correcta.</t>
  </si>
  <si>
    <t>Fue posible comprobar el listado de participantes o competidores ingresados en la base de datos. La información mostrada en pantalla es correcta y carece de errores o inconsistencias. Se cumple con los filtros mínimos de nombre, país que representa y olimpiada, además de funcionar correctamente. Muestra el total de personas consultadas de forma correcta.</t>
  </si>
  <si>
    <t xml:space="preserve">Fue posible comprobar las funcionalidades solicitadas para la correcta generación del listado de posiciones y este funciona perfectamente. </t>
  </si>
  <si>
    <t>Tipo</t>
  </si>
  <si>
    <t>Doc</t>
  </si>
  <si>
    <t>Tec</t>
  </si>
  <si>
    <t>Reg</t>
  </si>
  <si>
    <t>Querys</t>
  </si>
  <si>
    <t>Datos</t>
  </si>
  <si>
    <t>Peso</t>
  </si>
  <si>
    <t>Descripción</t>
  </si>
  <si>
    <t>Row Labels</t>
  </si>
  <si>
    <t>Grand Total</t>
  </si>
  <si>
    <t>Count of Tipo</t>
  </si>
  <si>
    <t>Sum of Peso</t>
  </si>
  <si>
    <t>Todo el sistema es parametrizable, no hay uso de parámetros establecidos en el código en duro. Todo es obtenido de una tabla y un administrador puede cambiar cambiar dichos parámetros a través del sistema.</t>
  </si>
  <si>
    <t>Estabilidad y Manejo de Excepciones</t>
  </si>
  <si>
    <t>Entrega el 100% de los scripts utilizados para llenar la base de datos, de manera que se pueda poner a prueba la aplicación en ambitos de cargo de datos considerables. Todas las tablas y atributos deben tener comentarios a nivel de base de datos. Todos los nombres de las tablas, atributos y código debe ser en inglés.</t>
  </si>
  <si>
    <t>Entrega entre un 99% y un 95% de los scripts de llenado de datos de la base de datos. Casos aislados de tablas o atributos no poseen comentario a nivel de la base de datos o no están en inglés.</t>
  </si>
  <si>
    <t>Entrega entre un 94% y un 90% de los scripts de llenado de datos de la base de datos. Existen varios casos donde tablas o atributos no poseen comentarios a nivel de la base de datos o no están en ingles.</t>
  </si>
  <si>
    <t>Entrega entre un 89% y 80% de los scripts de llenado de datos de la base de datos. Existen una cantidad considerable de casos donde tablas o atributos no poseen comentarios a nivel de la base de datos o no están en ingles.</t>
  </si>
  <si>
    <t>Entrega menor al 80% de los scripts de llenado de datos de la base de datos. No se siguen los lineamientos propuestos sobre comentarios a nivel de base de datos en tablas o atributos. Los nombres de tablas, atributos y código no se encuentran en inglés.</t>
  </si>
  <si>
    <t>El manual presenta profesionalidad, es agrable a la vista y contiene el 100% de la explicación del uso del sistema. Se hace uso de imágenes significativas como complemento a las explicaciones a lo largo del documento.</t>
  </si>
  <si>
    <t>Entre un 94% y un 90% de las tablas del proyecto poseen los campos de auditoría debidamente identificados y funcionales.</t>
  </si>
  <si>
    <t>Color de referencia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</si>
</sst>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
      <name val="Calibri"/>
      <family val="2"/>
      <scheme val="minor"/>
    </font>
  </fonts>
  <fills count="9">
    <fill>
      <patternFill patternType="none"/>
    </fill>
    <fill>
      <patternFill patternType="gray125"/>
    </fill>
    <fill>
      <patternFill patternType="solid">
        <fgColor rgb="FF158AFF"/>
        <bgColor indexed="64"/>
      </patternFill>
    </fill>
    <fill>
      <patternFill patternType="solid">
        <fgColor rgb="FF92D050"/>
        <bgColor indexed="64"/>
      </patternFill>
    </fill>
    <fill>
      <patternFill patternType="solid">
        <fgColor rgb="FFFFBB33"/>
        <bgColor indexed="64"/>
      </patternFill>
    </fill>
    <fill>
      <patternFill patternType="solid">
        <fgColor rgb="FFCC6600"/>
        <bgColor indexed="64"/>
      </patternFill>
    </fill>
    <fill>
      <patternFill patternType="solid">
        <fgColor rgb="FFDD0909"/>
        <bgColor indexed="64"/>
      </patternFill>
    </fill>
    <fill>
      <patternFill patternType="solid">
        <fgColor rgb="FFFFFF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0" borderId="0" xfId="0" applyFont="1" applyAlignment="1">
      <alignment vertical="center"/>
    </xf>
    <xf numFmtId="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wrapText="1"/>
    </xf>
    <xf numFmtId="9" fontId="0" fillId="0" borderId="0" xfId="0" applyNumberFormat="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7" borderId="0" xfId="0" applyFill="1"/>
    <xf numFmtId="0" fontId="2" fillId="0" borderId="0" xfId="0" applyFont="1"/>
    <xf numFmtId="10" fontId="1" fillId="8" borderId="0" xfId="0" applyNumberFormat="1" applyFont="1" applyFill="1" applyAlignment="1">
      <alignment horizontal="center" vertical="center"/>
    </xf>
    <xf numFmtId="0" fontId="0" fillId="7" borderId="1" xfId="0" applyFill="1" applyBorder="1" applyAlignment="1">
      <alignment horizontal="center" vertical="center" wrapText="1"/>
    </xf>
    <xf numFmtId="0" fontId="0" fillId="8" borderId="1" xfId="0" applyFill="1" applyBorder="1" applyAlignment="1">
      <alignment horizontal="center" vertical="center" wrapText="1"/>
    </xf>
    <xf numFmtId="0" fontId="0" fillId="8" borderId="1" xfId="0" applyFont="1" applyFill="1" applyBorder="1" applyAlignment="1">
      <alignment horizontal="center" vertical="center" wrapText="1"/>
    </xf>
    <xf numFmtId="0" fontId="0" fillId="8" borderId="1" xfId="0" applyFill="1" applyBorder="1"/>
  </cellXfs>
  <cellStyles count="1">
    <cellStyle name="Normal" xfId="0" builtinId="0"/>
  </cellStyles>
  <dxfs count="0"/>
  <tableStyles count="0" defaultTableStyle="TableStyleMedium2" defaultPivotStyle="PivotStyleLight16"/>
  <colors>
    <mruColors>
      <color rgb="FFDD0909"/>
      <color rgb="FFCC6600"/>
      <color rgb="FFFFBB33"/>
      <color rgb="FF158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Álvarez" refreshedDate="44462.787585532409" createdVersion="7" refreshedVersion="7" minRefreshableVersion="3" recordCount="31" xr:uid="{4A00624F-953D-4473-BBDC-2F38BB553120}">
  <cacheSource type="worksheet">
    <worksheetSource ref="A1:C33" sheet="Rúbrica Proyecto 1 - Versión 6"/>
  </cacheSource>
  <cacheFields count="3">
    <cacheField name="Descripción" numFmtId="0">
      <sharedItems count="31">
        <s v="Respaldo de Scripts"/>
        <s v="Diccionario de Datos"/>
        <s v="Manual de Usuario"/>
        <s v="Casos de Prueba"/>
        <s v="Diseño Orientado a Capas"/>
        <s v="Clean Code"/>
        <s v="Seguridad - Inicio de Sesión"/>
        <s v="Campos de Auditoría"/>
        <s v="Manejo de Excepciones"/>
        <s v="Registro de Datos"/>
        <s v="Generación del listado dirario de posiciones"/>
        <s v="Consultas: Listado de Participantes"/>
        <s v="Consultas: Listado de Entrenadores"/>
        <s v="Consultas: Listado de administradores"/>
        <s v="Consultas: Listado de deportistas con record mundial"/>
        <s v="Consultas: Ranking de países y de medallas obtenidas"/>
        <s v="Consultas: Listado de deportes"/>
        <s v="Consultas: Top 5 mejores puntajes."/>
        <s v="Consultas: Bitácora"/>
        <s v="Estadisticas: Participantes por deporte"/>
        <s v="Estadisticas: Participantes por género"/>
        <s v="Estadisticas: Participantes por género y deporte"/>
        <s v="Estadisticas: Deportistas por rango de edad"/>
        <s v="Estadisticas: Deportistas por rango de edad y deporte"/>
        <s v="Bitácora"/>
        <s v="Catálogos"/>
        <s v="Datos Utilizados"/>
        <s v="Redacción y Ortografía"/>
        <s v="Aspecto Visual"/>
        <s v="Parametrización"/>
        <s v="Integridad"/>
      </sharedItems>
    </cacheField>
    <cacheField name="Tipo" numFmtId="0">
      <sharedItems count="5">
        <s v="Doc"/>
        <s v="Tec"/>
        <s v="Reg"/>
        <s v="Querys"/>
        <s v="Datos"/>
      </sharedItems>
    </cacheField>
    <cacheField name="Peso" numFmtId="9">
      <sharedItems containsSemiMixedTypes="0" containsString="0" containsNumber="1" minValue="0.01" maxValue="0.3" count="6">
        <n v="0.01"/>
        <n v="0.03"/>
        <n v="0.02"/>
        <n v="0.3"/>
        <n v="0.05"/>
        <n v="0.0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x v="0"/>
    <x v="0"/>
  </r>
  <r>
    <x v="1"/>
    <x v="0"/>
    <x v="1"/>
  </r>
  <r>
    <x v="2"/>
    <x v="0"/>
    <x v="1"/>
  </r>
  <r>
    <x v="3"/>
    <x v="0"/>
    <x v="1"/>
  </r>
  <r>
    <x v="4"/>
    <x v="1"/>
    <x v="2"/>
  </r>
  <r>
    <x v="5"/>
    <x v="0"/>
    <x v="0"/>
  </r>
  <r>
    <x v="6"/>
    <x v="1"/>
    <x v="1"/>
  </r>
  <r>
    <x v="7"/>
    <x v="1"/>
    <x v="2"/>
  </r>
  <r>
    <x v="8"/>
    <x v="1"/>
    <x v="1"/>
  </r>
  <r>
    <x v="9"/>
    <x v="2"/>
    <x v="3"/>
  </r>
  <r>
    <x v="10"/>
    <x v="3"/>
    <x v="1"/>
  </r>
  <r>
    <x v="11"/>
    <x v="3"/>
    <x v="2"/>
  </r>
  <r>
    <x v="12"/>
    <x v="3"/>
    <x v="2"/>
  </r>
  <r>
    <x v="13"/>
    <x v="3"/>
    <x v="2"/>
  </r>
  <r>
    <x v="14"/>
    <x v="3"/>
    <x v="1"/>
  </r>
  <r>
    <x v="15"/>
    <x v="3"/>
    <x v="4"/>
  </r>
  <r>
    <x v="16"/>
    <x v="3"/>
    <x v="2"/>
  </r>
  <r>
    <x v="17"/>
    <x v="3"/>
    <x v="5"/>
  </r>
  <r>
    <x v="18"/>
    <x v="3"/>
    <x v="4"/>
  </r>
  <r>
    <x v="19"/>
    <x v="3"/>
    <x v="1"/>
  </r>
  <r>
    <x v="20"/>
    <x v="3"/>
    <x v="2"/>
  </r>
  <r>
    <x v="21"/>
    <x v="3"/>
    <x v="5"/>
  </r>
  <r>
    <x v="22"/>
    <x v="3"/>
    <x v="2"/>
  </r>
  <r>
    <x v="23"/>
    <x v="3"/>
    <x v="1"/>
  </r>
  <r>
    <x v="24"/>
    <x v="1"/>
    <x v="5"/>
  </r>
  <r>
    <x v="25"/>
    <x v="1"/>
    <x v="4"/>
  </r>
  <r>
    <x v="26"/>
    <x v="4"/>
    <x v="1"/>
  </r>
  <r>
    <x v="27"/>
    <x v="0"/>
    <x v="1"/>
  </r>
  <r>
    <x v="28"/>
    <x v="1"/>
    <x v="1"/>
  </r>
  <r>
    <x v="29"/>
    <x v="1"/>
    <x v="1"/>
  </r>
  <r>
    <x v="30"/>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F68050-FE89-439C-A1F3-E36B056F387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8:C44" firstHeaderRow="0" firstDataRow="1" firstDataCol="1"/>
  <pivotFields count="3">
    <pivotField showAll="0">
      <items count="32">
        <item x="28"/>
        <item x="24"/>
        <item x="7"/>
        <item x="3"/>
        <item x="25"/>
        <item x="5"/>
        <item x="18"/>
        <item x="13"/>
        <item x="16"/>
        <item x="14"/>
        <item x="12"/>
        <item x="11"/>
        <item x="15"/>
        <item x="17"/>
        <item x="26"/>
        <item x="1"/>
        <item x="4"/>
        <item x="22"/>
        <item x="23"/>
        <item x="19"/>
        <item x="20"/>
        <item x="21"/>
        <item x="10"/>
        <item x="30"/>
        <item x="8"/>
        <item x="2"/>
        <item x="29"/>
        <item x="27"/>
        <item x="9"/>
        <item x="0"/>
        <item x="6"/>
        <item t="default"/>
      </items>
    </pivotField>
    <pivotField axis="axisRow" dataField="1" showAll="0">
      <items count="6">
        <item x="4"/>
        <item x="0"/>
        <item x="3"/>
        <item x="2"/>
        <item x="1"/>
        <item t="default"/>
      </items>
    </pivotField>
    <pivotField dataField="1" numFmtId="9" showAll="0">
      <items count="7">
        <item x="0"/>
        <item x="2"/>
        <item x="1"/>
        <item x="5"/>
        <item x="4"/>
        <item x="3"/>
        <item t="default"/>
      </items>
    </pivotField>
  </pivotFields>
  <rowFields count="1">
    <field x="1"/>
  </rowFields>
  <rowItems count="6">
    <i>
      <x/>
    </i>
    <i>
      <x v="1"/>
    </i>
    <i>
      <x v="2"/>
    </i>
    <i>
      <x v="3"/>
    </i>
    <i>
      <x v="4"/>
    </i>
    <i t="grand">
      <x/>
    </i>
  </rowItems>
  <colFields count="1">
    <field x="-2"/>
  </colFields>
  <colItems count="2">
    <i>
      <x/>
    </i>
    <i i="1">
      <x v="1"/>
    </i>
  </colItems>
  <dataFields count="2">
    <dataField name="Count of Tipo" fld="1" subtotal="count" baseField="0" baseItem="0"/>
    <dataField name="Sum of Peso" fld="2"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2663E-2DEC-45C2-8903-6E231ADD2AAD}">
  <sheetPr codeName="Hoja1"/>
  <dimension ref="A1:L44"/>
  <sheetViews>
    <sheetView tabSelected="1" topLeftCell="A30" zoomScale="79" zoomScaleNormal="85" workbookViewId="0">
      <selection activeCell="E38" sqref="E38"/>
    </sheetView>
  </sheetViews>
  <sheetFormatPr baseColWidth="10" defaultColWidth="11.42578125" defaultRowHeight="15" x14ac:dyDescent="0.25"/>
  <cols>
    <col min="1" max="1" width="22.85546875" customWidth="1"/>
    <col min="2" max="2" width="12.85546875" bestFit="1" customWidth="1"/>
    <col min="3" max="3" width="12.28515625" style="8" bestFit="1" customWidth="1"/>
    <col min="4" max="4" width="12.28515625" style="8" customWidth="1"/>
    <col min="5" max="5" width="39.140625" customWidth="1"/>
    <col min="6" max="7" width="43.28515625" customWidth="1"/>
    <col min="8" max="8" width="34" customWidth="1"/>
    <col min="9" max="9" width="28" customWidth="1"/>
    <col min="10" max="10" width="18.28515625" hidden="1" customWidth="1"/>
    <col min="11" max="11" width="13.28515625" bestFit="1" customWidth="1"/>
    <col min="12" max="12" width="12.85546875" bestFit="1" customWidth="1"/>
    <col min="13" max="13" width="11.85546875" bestFit="1" customWidth="1"/>
    <col min="14" max="16" width="3.7109375" bestFit="1" customWidth="1"/>
    <col min="17" max="17" width="4.7109375" bestFit="1" customWidth="1"/>
    <col min="18" max="18" width="11.28515625" bestFit="1" customWidth="1"/>
    <col min="19" max="19" width="11.85546875" bestFit="1" customWidth="1"/>
    <col min="20" max="20" width="12.85546875" bestFit="1" customWidth="1"/>
    <col min="21" max="21" width="11.85546875" bestFit="1" customWidth="1"/>
    <col min="22" max="22" width="12.85546875" bestFit="1" customWidth="1"/>
    <col min="23" max="23" width="11.85546875" bestFit="1" customWidth="1"/>
    <col min="24" max="24" width="18" bestFit="1" customWidth="1"/>
    <col min="25" max="25" width="16.85546875" bestFit="1" customWidth="1"/>
    <col min="26" max="28" width="12.85546875" bestFit="1" customWidth="1"/>
    <col min="29" max="29" width="19.85546875" bestFit="1" customWidth="1"/>
    <col min="30" max="30" width="18.85546875" bestFit="1" customWidth="1"/>
    <col min="31" max="32" width="12.85546875" bestFit="1" customWidth="1"/>
    <col min="33" max="33" width="16.7109375" bestFit="1" customWidth="1"/>
    <col min="34" max="34" width="15.7109375" bestFit="1" customWidth="1"/>
    <col min="35" max="42" width="12.85546875" bestFit="1" customWidth="1"/>
    <col min="43" max="43" width="16.42578125" bestFit="1" customWidth="1"/>
    <col min="44" max="44" width="15.42578125" bestFit="1" customWidth="1"/>
    <col min="45" max="45" width="18" bestFit="1" customWidth="1"/>
    <col min="46" max="47" width="16.85546875" bestFit="1" customWidth="1"/>
  </cols>
  <sheetData>
    <row r="1" spans="1:12" ht="33" customHeight="1" x14ac:dyDescent="0.25">
      <c r="A1" t="s">
        <v>144</v>
      </c>
      <c r="B1" t="s">
        <v>137</v>
      </c>
      <c r="C1" s="10" t="s">
        <v>143</v>
      </c>
      <c r="D1" s="10"/>
      <c r="E1" s="1" t="s">
        <v>0</v>
      </c>
      <c r="F1" s="3" t="s">
        <v>1</v>
      </c>
      <c r="G1" s="2" t="s">
        <v>4</v>
      </c>
      <c r="H1" s="4" t="s">
        <v>2</v>
      </c>
      <c r="I1" s="5" t="s">
        <v>3</v>
      </c>
      <c r="J1" t="s">
        <v>158</v>
      </c>
    </row>
    <row r="2" spans="1:12" ht="16.5" customHeight="1" x14ac:dyDescent="0.25">
      <c r="C2" s="10"/>
      <c r="D2" s="10"/>
      <c r="E2" s="1">
        <v>4</v>
      </c>
      <c r="F2" s="3">
        <v>3</v>
      </c>
      <c r="G2" s="2">
        <v>2</v>
      </c>
      <c r="H2" s="4">
        <v>1</v>
      </c>
      <c r="I2" s="5">
        <v>0</v>
      </c>
      <c r="J2" s="14"/>
    </row>
    <row r="3" spans="1:12" ht="168" customHeight="1" x14ac:dyDescent="0.25">
      <c r="A3" s="6" t="s">
        <v>5</v>
      </c>
      <c r="B3" s="6" t="s">
        <v>138</v>
      </c>
      <c r="C3" s="7">
        <v>0.01</v>
      </c>
      <c r="D3" s="16" cm="1">
        <f t="array" aca="1" ref="D3" ca="1">INDIRECT(ADDRESS(2,CONTARCOLOR($J$2,E3:I3)))*C3/$E$2</f>
        <v>0.01</v>
      </c>
      <c r="E3" s="17" t="s">
        <v>151</v>
      </c>
      <c r="F3" s="18" t="s">
        <v>152</v>
      </c>
      <c r="G3" s="18" t="s">
        <v>153</v>
      </c>
      <c r="H3" s="18" t="s">
        <v>154</v>
      </c>
      <c r="I3" s="18" t="s">
        <v>155</v>
      </c>
      <c r="L3" s="15"/>
    </row>
    <row r="4" spans="1:12" ht="105" customHeight="1" x14ac:dyDescent="0.25">
      <c r="A4" s="6" t="s">
        <v>6</v>
      </c>
      <c r="B4" s="6" t="s">
        <v>138</v>
      </c>
      <c r="C4" s="7">
        <v>0.03</v>
      </c>
      <c r="D4" s="16" cm="1">
        <f t="array" aca="1" ref="D4" ca="1">INDIRECT(ADDRESS(2,CONTARCOLOR($J$2,E4:I4)))*C4/$E$2</f>
        <v>0.03</v>
      </c>
      <c r="E4" s="17" t="s">
        <v>11</v>
      </c>
      <c r="F4" s="19" t="s">
        <v>10</v>
      </c>
      <c r="G4" s="18" t="s">
        <v>9</v>
      </c>
      <c r="H4" s="18" t="s">
        <v>8</v>
      </c>
      <c r="I4" s="18" t="s">
        <v>7</v>
      </c>
    </row>
    <row r="5" spans="1:12" ht="128.25" customHeight="1" x14ac:dyDescent="0.25">
      <c r="A5" s="6" t="s">
        <v>12</v>
      </c>
      <c r="B5" s="6" t="s">
        <v>138</v>
      </c>
      <c r="C5" s="7">
        <v>0.02</v>
      </c>
      <c r="D5" s="16" cm="1">
        <f t="array" aca="1" ref="D5" ca="1">INDIRECT(ADDRESS(2,CONTARCOLOR($J$2,E5:I5)))*C5/$E$2</f>
        <v>0.02</v>
      </c>
      <c r="E5" s="17" t="s">
        <v>156</v>
      </c>
      <c r="F5" s="18" t="s">
        <v>13</v>
      </c>
      <c r="G5" s="18" t="s">
        <v>14</v>
      </c>
      <c r="H5" s="18" t="s">
        <v>15</v>
      </c>
      <c r="I5" s="18" t="s">
        <v>7</v>
      </c>
    </row>
    <row r="6" spans="1:12" ht="165" x14ac:dyDescent="0.25">
      <c r="A6" s="6" t="s">
        <v>16</v>
      </c>
      <c r="B6" s="6" t="s">
        <v>138</v>
      </c>
      <c r="C6" s="7">
        <v>0.03</v>
      </c>
      <c r="D6" s="16" cm="1">
        <f t="array" aca="1" ref="D6" ca="1">INDIRECT(ADDRESS(2,CONTARCOLOR($J$2,E6:I6)))*C6/$E$2</f>
        <v>0.03</v>
      </c>
      <c r="E6" s="17" t="s">
        <v>17</v>
      </c>
      <c r="F6" s="18" t="s">
        <v>18</v>
      </c>
      <c r="G6" s="18"/>
      <c r="H6" s="18" t="s">
        <v>19</v>
      </c>
      <c r="I6" s="18" t="s">
        <v>20</v>
      </c>
    </row>
    <row r="7" spans="1:12" ht="124.5" customHeight="1" x14ac:dyDescent="0.25">
      <c r="A7" s="9" t="s">
        <v>21</v>
      </c>
      <c r="B7" s="6" t="s">
        <v>139</v>
      </c>
      <c r="C7" s="7">
        <v>0.02</v>
      </c>
      <c r="D7" s="16" cm="1">
        <f t="array" aca="1" ref="D7" ca="1">INDIRECT(ADDRESS(2,CONTARCOLOR($J$2,E7:I7)))*C7/$E$2</f>
        <v>0.02</v>
      </c>
      <c r="E7" s="17" t="s">
        <v>22</v>
      </c>
      <c r="F7" s="18" t="s">
        <v>23</v>
      </c>
      <c r="G7" s="18"/>
      <c r="H7" s="18"/>
      <c r="I7" s="18" t="s">
        <v>24</v>
      </c>
    </row>
    <row r="8" spans="1:12" ht="124.5" customHeight="1" x14ac:dyDescent="0.25">
      <c r="A8" s="9" t="s">
        <v>25</v>
      </c>
      <c r="B8" s="6" t="s">
        <v>138</v>
      </c>
      <c r="C8" s="7">
        <v>0.01</v>
      </c>
      <c r="D8" s="16" cm="1">
        <f t="array" aca="1" ref="D8" ca="1">INDIRECT(ADDRESS(2,CONTARCOLOR($J$2,E8:I8)))*C8/$E$2</f>
        <v>0.01</v>
      </c>
      <c r="E8" s="17" t="s">
        <v>26</v>
      </c>
      <c r="F8" s="18" t="s">
        <v>27</v>
      </c>
      <c r="G8" s="18"/>
      <c r="H8" s="18"/>
      <c r="I8" s="18" t="s">
        <v>28</v>
      </c>
    </row>
    <row r="9" spans="1:12" ht="165" x14ac:dyDescent="0.25">
      <c r="A9" s="9" t="s">
        <v>29</v>
      </c>
      <c r="B9" s="6" t="s">
        <v>139</v>
      </c>
      <c r="C9" s="7">
        <v>0.03</v>
      </c>
      <c r="D9" s="16" cm="1">
        <f t="array" aca="1" ref="D9" ca="1">INDIRECT(ADDRESS(2,CONTARCOLOR($J$2,E9:I9)))*C9/$E$2</f>
        <v>0.03</v>
      </c>
      <c r="E9" s="17" t="s">
        <v>30</v>
      </c>
      <c r="F9" s="18" t="s">
        <v>31</v>
      </c>
      <c r="G9" s="18"/>
      <c r="H9" s="18" t="s">
        <v>33</v>
      </c>
      <c r="I9" s="18" t="s">
        <v>32</v>
      </c>
    </row>
    <row r="10" spans="1:12" ht="124.5" customHeight="1" x14ac:dyDescent="0.25">
      <c r="A10" s="9" t="s">
        <v>34</v>
      </c>
      <c r="B10" s="6" t="s">
        <v>139</v>
      </c>
      <c r="C10" s="7">
        <v>0.02</v>
      </c>
      <c r="D10" s="16" cm="1">
        <f t="array" aca="1" ref="D10" ca="1">INDIRECT(ADDRESS(2,CONTARCOLOR($J$2,E10:I10)))*C10/$E$2</f>
        <v>0.02</v>
      </c>
      <c r="E10" s="17" t="s">
        <v>35</v>
      </c>
      <c r="F10" s="18" t="s">
        <v>36</v>
      </c>
      <c r="G10" s="18" t="s">
        <v>157</v>
      </c>
      <c r="H10" s="18" t="s">
        <v>37</v>
      </c>
      <c r="I10" s="18" t="s">
        <v>38</v>
      </c>
    </row>
    <row r="11" spans="1:12" ht="124.5" customHeight="1" x14ac:dyDescent="0.25">
      <c r="A11" s="9" t="s">
        <v>150</v>
      </c>
      <c r="B11" s="6" t="s">
        <v>139</v>
      </c>
      <c r="C11" s="7">
        <v>0.05</v>
      </c>
      <c r="D11" s="16" cm="1">
        <f t="array" aca="1" ref="D11" ca="1">INDIRECT(ADDRESS(2,CONTARCOLOR($J$2,E11:I11)))*C11/$E$2</f>
        <v>0.05</v>
      </c>
      <c r="E11" s="17" t="s">
        <v>39</v>
      </c>
      <c r="F11" s="18" t="s">
        <v>40</v>
      </c>
      <c r="G11" s="20"/>
      <c r="H11" s="20"/>
      <c r="I11" s="18" t="s">
        <v>41</v>
      </c>
    </row>
    <row r="12" spans="1:12" ht="135" x14ac:dyDescent="0.25">
      <c r="A12" s="9" t="s">
        <v>42</v>
      </c>
      <c r="B12" s="6" t="s">
        <v>140</v>
      </c>
      <c r="C12" s="7">
        <v>0.2</v>
      </c>
      <c r="D12" s="16" cm="1">
        <f t="array" aca="1" ref="D12" ca="1">INDIRECT(ADDRESS(2,CONTARCOLOR($J$2,E12:I12)))*C12/$E$2</f>
        <v>0.2</v>
      </c>
      <c r="E12" s="17" t="s">
        <v>43</v>
      </c>
      <c r="F12" s="18" t="s">
        <v>44</v>
      </c>
      <c r="G12" s="18"/>
      <c r="H12" s="18"/>
      <c r="I12" s="18" t="s">
        <v>45</v>
      </c>
    </row>
    <row r="13" spans="1:12" ht="124.5" customHeight="1" x14ac:dyDescent="0.25">
      <c r="A13" s="9" t="s">
        <v>46</v>
      </c>
      <c r="B13" s="6" t="s">
        <v>141</v>
      </c>
      <c r="C13" s="7">
        <v>0.03</v>
      </c>
      <c r="D13" s="16" cm="1">
        <f t="array" aca="1" ref="D13" ca="1">INDIRECT(ADDRESS(2,CONTARCOLOR($J$2,E13:I13)))*C13/$E$2</f>
        <v>0.03</v>
      </c>
      <c r="E13" s="17" t="s">
        <v>136</v>
      </c>
      <c r="F13" s="18" t="s">
        <v>79</v>
      </c>
      <c r="G13" s="18"/>
      <c r="H13" s="18"/>
      <c r="I13" s="18" t="s">
        <v>80</v>
      </c>
    </row>
    <row r="14" spans="1:12" ht="152.25" customHeight="1" x14ac:dyDescent="0.25">
      <c r="A14" s="9" t="s">
        <v>89</v>
      </c>
      <c r="B14" s="6" t="s">
        <v>141</v>
      </c>
      <c r="C14" s="7">
        <v>0.02</v>
      </c>
      <c r="D14" s="16" cm="1">
        <f t="array" aca="1" ref="D14" ca="1">INDIRECT(ADDRESS(2,CONTARCOLOR($J$2,E14:I14)))*C14/$E$2</f>
        <v>0.02</v>
      </c>
      <c r="E14" s="17" t="s">
        <v>135</v>
      </c>
      <c r="F14" s="18" t="s">
        <v>92</v>
      </c>
      <c r="G14" s="18" t="s">
        <v>112</v>
      </c>
      <c r="H14" s="18" t="s">
        <v>99</v>
      </c>
      <c r="I14" s="18" t="s">
        <v>81</v>
      </c>
    </row>
    <row r="15" spans="1:12" ht="168" customHeight="1" x14ac:dyDescent="0.25">
      <c r="A15" s="9" t="s">
        <v>88</v>
      </c>
      <c r="B15" s="6" t="s">
        <v>141</v>
      </c>
      <c r="C15" s="7">
        <v>0.01</v>
      </c>
      <c r="D15" s="16" cm="1">
        <f t="array" aca="1" ref="D15" ca="1">INDIRECT(ADDRESS(2,CONTARCOLOR($J$2,E15:I15)))*C15/$E$2</f>
        <v>0.01</v>
      </c>
      <c r="E15" s="17" t="s">
        <v>134</v>
      </c>
      <c r="F15" s="18" t="s">
        <v>91</v>
      </c>
      <c r="G15" s="18" t="s">
        <v>113</v>
      </c>
      <c r="H15" s="18" t="s">
        <v>99</v>
      </c>
      <c r="I15" s="18" t="s">
        <v>81</v>
      </c>
    </row>
    <row r="16" spans="1:12" ht="136.5" customHeight="1" x14ac:dyDescent="0.25">
      <c r="A16" s="9" t="s">
        <v>93</v>
      </c>
      <c r="B16" s="6" t="s">
        <v>141</v>
      </c>
      <c r="C16" s="7">
        <v>0.02</v>
      </c>
      <c r="D16" s="16" cm="1">
        <f t="array" aca="1" ref="D16" ca="1">INDIRECT(ADDRESS(2,CONTARCOLOR($J$2,E16:I16)))*C16/$E$2</f>
        <v>0.02</v>
      </c>
      <c r="E16" s="17" t="s">
        <v>132</v>
      </c>
      <c r="F16" s="18" t="s">
        <v>90</v>
      </c>
      <c r="G16" s="18" t="s">
        <v>114</v>
      </c>
      <c r="H16" s="18" t="s">
        <v>99</v>
      </c>
      <c r="I16" s="18" t="s">
        <v>81</v>
      </c>
    </row>
    <row r="17" spans="1:9" ht="142.5" customHeight="1" x14ac:dyDescent="0.25">
      <c r="A17" s="9" t="s">
        <v>94</v>
      </c>
      <c r="B17" s="6" t="s">
        <v>141</v>
      </c>
      <c r="C17" s="7">
        <v>0.03</v>
      </c>
      <c r="D17" s="16" cm="1">
        <f t="array" aca="1" ref="D17" ca="1">INDIRECT(ADDRESS(2,CONTARCOLOR($J$2,E17:I17)))*C17/$E$2</f>
        <v>0.03</v>
      </c>
      <c r="E17" s="17" t="s">
        <v>133</v>
      </c>
      <c r="F17" s="18" t="s">
        <v>95</v>
      </c>
      <c r="G17" s="18" t="s">
        <v>115</v>
      </c>
      <c r="H17" s="18" t="s">
        <v>99</v>
      </c>
      <c r="I17" s="18" t="s">
        <v>81</v>
      </c>
    </row>
    <row r="18" spans="1:9" ht="124.5" customHeight="1" x14ac:dyDescent="0.25">
      <c r="A18" s="9" t="s">
        <v>96</v>
      </c>
      <c r="B18" s="6" t="s">
        <v>141</v>
      </c>
      <c r="C18" s="7">
        <v>0.04</v>
      </c>
      <c r="D18" s="16" cm="1">
        <f t="array" aca="1" ref="D18" ca="1">INDIRECT(ADDRESS(2,CONTARCOLOR($J$2,E18:I18)))*C18/$E$2</f>
        <v>0.04</v>
      </c>
      <c r="E18" s="17" t="s">
        <v>105</v>
      </c>
      <c r="F18" s="18" t="s">
        <v>100</v>
      </c>
      <c r="G18" s="18" t="s">
        <v>104</v>
      </c>
      <c r="H18" s="18" t="s">
        <v>99</v>
      </c>
      <c r="I18" s="18" t="s">
        <v>81</v>
      </c>
    </row>
    <row r="19" spans="1:9" ht="124.5" customHeight="1" x14ac:dyDescent="0.25">
      <c r="A19" s="9" t="s">
        <v>97</v>
      </c>
      <c r="B19" s="6" t="s">
        <v>141</v>
      </c>
      <c r="C19" s="7">
        <v>0.02</v>
      </c>
      <c r="D19" s="16" cm="1">
        <f t="array" aca="1" ref="D19" ca="1">INDIRECT(ADDRESS(2,CONTARCOLOR($J$2,E19:I19)))*C19/$E$2</f>
        <v>0.02</v>
      </c>
      <c r="E19" s="17" t="s">
        <v>106</v>
      </c>
      <c r="F19" s="18" t="s">
        <v>101</v>
      </c>
      <c r="G19" s="18" t="s">
        <v>111</v>
      </c>
      <c r="H19" s="18" t="s">
        <v>99</v>
      </c>
      <c r="I19" s="18" t="s">
        <v>81</v>
      </c>
    </row>
    <row r="20" spans="1:9" ht="124.5" customHeight="1" x14ac:dyDescent="0.25">
      <c r="A20" s="9" t="s">
        <v>98</v>
      </c>
      <c r="B20" s="6" t="s">
        <v>141</v>
      </c>
      <c r="C20" s="7">
        <v>0.03</v>
      </c>
      <c r="D20" s="16" cm="1">
        <f t="array" aca="1" ref="D20" ca="1">INDIRECT(ADDRESS(2,CONTARCOLOR($J$2,E20:I20)))*C20/$E$2</f>
        <v>0.03</v>
      </c>
      <c r="E20" s="17" t="s">
        <v>107</v>
      </c>
      <c r="F20" s="18" t="s">
        <v>102</v>
      </c>
      <c r="G20" s="18" t="s">
        <v>110</v>
      </c>
      <c r="H20" s="18" t="s">
        <v>99</v>
      </c>
      <c r="I20" s="18" t="s">
        <v>81</v>
      </c>
    </row>
    <row r="21" spans="1:9" ht="124.5" customHeight="1" x14ac:dyDescent="0.25">
      <c r="A21" s="9" t="s">
        <v>87</v>
      </c>
      <c r="B21" s="6" t="s">
        <v>141</v>
      </c>
      <c r="C21" s="7">
        <v>0.04</v>
      </c>
      <c r="D21" s="16" cm="1">
        <f t="array" aca="1" ref="D21" ca="1">INDIRECT(ADDRESS(2,CONTARCOLOR($J$2,E21:I21)))*C21/$E$2</f>
        <v>0.04</v>
      </c>
      <c r="E21" s="17" t="s">
        <v>108</v>
      </c>
      <c r="F21" s="18" t="s">
        <v>103</v>
      </c>
      <c r="G21" s="18" t="s">
        <v>109</v>
      </c>
      <c r="H21" s="18" t="s">
        <v>99</v>
      </c>
      <c r="I21" s="18" t="s">
        <v>81</v>
      </c>
    </row>
    <row r="22" spans="1:9" ht="124.5" customHeight="1" x14ac:dyDescent="0.25">
      <c r="A22" s="9" t="s">
        <v>83</v>
      </c>
      <c r="B22" s="6" t="s">
        <v>141</v>
      </c>
      <c r="C22" s="7">
        <v>0.03</v>
      </c>
      <c r="D22" s="16" cm="1">
        <f t="array" aca="1" ref="D22" ca="1">INDIRECT(ADDRESS(2,CONTARCOLOR($J$2,E22:I22)))*C22/$E$2</f>
        <v>0.03</v>
      </c>
      <c r="E22" s="17" t="s">
        <v>116</v>
      </c>
      <c r="F22" s="18" t="s">
        <v>122</v>
      </c>
      <c r="G22" s="18" t="s">
        <v>125</v>
      </c>
      <c r="H22" s="18" t="s">
        <v>99</v>
      </c>
      <c r="I22" s="18" t="s">
        <v>121</v>
      </c>
    </row>
    <row r="23" spans="1:9" ht="124.5" customHeight="1" x14ac:dyDescent="0.25">
      <c r="A23" s="9" t="s">
        <v>82</v>
      </c>
      <c r="B23" s="6" t="s">
        <v>141</v>
      </c>
      <c r="C23" s="7">
        <v>0.01</v>
      </c>
      <c r="D23" s="16" cm="1">
        <f t="array" aca="1" ref="D23" ca="1">INDIRECT(ADDRESS(2,CONTARCOLOR($J$2,E23:I23)))*C23/$E$2</f>
        <v>0.01</v>
      </c>
      <c r="E23" s="17" t="s">
        <v>117</v>
      </c>
      <c r="F23" s="18" t="s">
        <v>123</v>
      </c>
      <c r="G23" s="18" t="s">
        <v>126</v>
      </c>
      <c r="H23" s="18" t="s">
        <v>99</v>
      </c>
      <c r="I23" s="18" t="s">
        <v>121</v>
      </c>
    </row>
    <row r="24" spans="1:9" ht="124.5" customHeight="1" x14ac:dyDescent="0.25">
      <c r="A24" s="9" t="s">
        <v>85</v>
      </c>
      <c r="B24" s="6" t="s">
        <v>141</v>
      </c>
      <c r="C24" s="7">
        <v>0.03</v>
      </c>
      <c r="D24" s="16" cm="1">
        <f t="array" aca="1" ref="D24" ca="1">INDIRECT(ADDRESS(2,CONTARCOLOR($J$2,E24:I24)))*C24/$E$2</f>
        <v>0.03</v>
      </c>
      <c r="E24" s="17" t="s">
        <v>118</v>
      </c>
      <c r="F24" s="18" t="s">
        <v>124</v>
      </c>
      <c r="G24" s="18" t="s">
        <v>127</v>
      </c>
      <c r="H24" s="18" t="s">
        <v>99</v>
      </c>
      <c r="I24" s="18" t="s">
        <v>121</v>
      </c>
    </row>
    <row r="25" spans="1:9" ht="124.5" customHeight="1" x14ac:dyDescent="0.25">
      <c r="A25" s="9" t="s">
        <v>84</v>
      </c>
      <c r="B25" s="6" t="s">
        <v>141</v>
      </c>
      <c r="C25" s="7">
        <v>0.02</v>
      </c>
      <c r="D25" s="16" cm="1">
        <f t="array" aca="1" ref="D25" ca="1">INDIRECT(ADDRESS(2,CONTARCOLOR($J$2,E25:I25)))*C25/$E$2</f>
        <v>0.02</v>
      </c>
      <c r="E25" s="17" t="s">
        <v>119</v>
      </c>
      <c r="F25" s="18" t="s">
        <v>128</v>
      </c>
      <c r="G25" s="18" t="s">
        <v>129</v>
      </c>
      <c r="H25" s="18" t="s">
        <v>99</v>
      </c>
      <c r="I25" s="18" t="s">
        <v>121</v>
      </c>
    </row>
    <row r="26" spans="1:9" ht="124.5" customHeight="1" x14ac:dyDescent="0.25">
      <c r="A26" s="9" t="s">
        <v>86</v>
      </c>
      <c r="B26" s="6" t="s">
        <v>141</v>
      </c>
      <c r="C26" s="7">
        <v>0.03</v>
      </c>
      <c r="D26" s="16" cm="1">
        <f t="array" aca="1" ref="D26" ca="1">INDIRECT(ADDRESS(2,CONTARCOLOR($J$2,E26:I26)))*C26/$E$2</f>
        <v>0.03</v>
      </c>
      <c r="E26" s="17" t="s">
        <v>120</v>
      </c>
      <c r="F26" s="18" t="s">
        <v>130</v>
      </c>
      <c r="G26" s="18" t="s">
        <v>131</v>
      </c>
      <c r="H26" s="18" t="s">
        <v>99</v>
      </c>
      <c r="I26" s="18" t="s">
        <v>121</v>
      </c>
    </row>
    <row r="27" spans="1:9" ht="124.5" customHeight="1" x14ac:dyDescent="0.25">
      <c r="A27" s="9" t="s">
        <v>47</v>
      </c>
      <c r="B27" s="6" t="s">
        <v>139</v>
      </c>
      <c r="C27" s="7">
        <v>0.03</v>
      </c>
      <c r="D27" s="16" cm="1">
        <f t="array" aca="1" ref="D27" ca="1">INDIRECT(ADDRESS(2,CONTARCOLOR($J$2,E27:I27)))*C27/$E$2</f>
        <v>0.03</v>
      </c>
      <c r="E27" s="17" t="s">
        <v>48</v>
      </c>
      <c r="F27" s="18" t="s">
        <v>49</v>
      </c>
      <c r="G27" s="18"/>
      <c r="H27" s="18"/>
      <c r="I27" s="18" t="s">
        <v>50</v>
      </c>
    </row>
    <row r="28" spans="1:9" ht="124.5" customHeight="1" x14ac:dyDescent="0.25">
      <c r="A28" s="9" t="s">
        <v>51</v>
      </c>
      <c r="B28" s="6" t="s">
        <v>140</v>
      </c>
      <c r="C28" s="7">
        <v>0.05</v>
      </c>
      <c r="D28" s="16" cm="1">
        <f t="array" aca="1" ref="D28" ca="1">INDIRECT(ADDRESS(2,CONTARCOLOR($J$2,E28:I28)))*C28/$E$2</f>
        <v>0.05</v>
      </c>
      <c r="E28" s="17" t="s">
        <v>52</v>
      </c>
      <c r="F28" s="18" t="s">
        <v>53</v>
      </c>
      <c r="G28" s="18" t="s">
        <v>55</v>
      </c>
      <c r="H28" s="18" t="s">
        <v>56</v>
      </c>
      <c r="I28" s="18" t="s">
        <v>54</v>
      </c>
    </row>
    <row r="29" spans="1:9" ht="124.5" customHeight="1" x14ac:dyDescent="0.25">
      <c r="A29" s="9" t="s">
        <v>57</v>
      </c>
      <c r="B29" s="6" t="s">
        <v>142</v>
      </c>
      <c r="C29" s="7">
        <v>0.02</v>
      </c>
      <c r="D29" s="16" cm="1">
        <f t="array" aca="1" ref="D29" ca="1">INDIRECT(ADDRESS(2,CONTARCOLOR($J$2,E29:I29)))*C29/$E$2</f>
        <v>0.02</v>
      </c>
      <c r="E29" s="17" t="s">
        <v>58</v>
      </c>
      <c r="F29" s="18"/>
      <c r="G29" s="18"/>
      <c r="H29" s="18"/>
      <c r="I29" s="18" t="s">
        <v>59</v>
      </c>
    </row>
    <row r="30" spans="1:9" ht="124.5" customHeight="1" x14ac:dyDescent="0.25">
      <c r="A30" s="9" t="s">
        <v>60</v>
      </c>
      <c r="B30" s="6" t="s">
        <v>138</v>
      </c>
      <c r="C30" s="7">
        <v>0.02</v>
      </c>
      <c r="D30" s="16" cm="1">
        <f t="array" aca="1" ref="D30" ca="1">INDIRECT(ADDRESS(2,CONTARCOLOR($J$2,E30:I30)))*C30/$E$2</f>
        <v>0.02</v>
      </c>
      <c r="E30" s="17" t="s">
        <v>64</v>
      </c>
      <c r="F30" s="18"/>
      <c r="G30" s="18" t="s">
        <v>65</v>
      </c>
      <c r="H30" s="18"/>
      <c r="I30" s="18" t="s">
        <v>66</v>
      </c>
    </row>
    <row r="31" spans="1:9" ht="124.5" customHeight="1" x14ac:dyDescent="0.25">
      <c r="A31" s="9" t="s">
        <v>61</v>
      </c>
      <c r="B31" s="6" t="s">
        <v>139</v>
      </c>
      <c r="C31" s="7">
        <v>0.03</v>
      </c>
      <c r="D31" s="16" cm="1">
        <f t="array" aca="1" ref="D31" ca="1">INDIRECT(ADDRESS(2,CONTARCOLOR($J$2,E31:I31)))*C31/$E$2</f>
        <v>0.03</v>
      </c>
      <c r="E31" s="17" t="s">
        <v>67</v>
      </c>
      <c r="F31" s="18" t="s">
        <v>69</v>
      </c>
      <c r="G31" s="18" t="s">
        <v>68</v>
      </c>
      <c r="H31" s="18" t="s">
        <v>70</v>
      </c>
      <c r="I31" s="18" t="s">
        <v>71</v>
      </c>
    </row>
    <row r="32" spans="1:9" ht="124.5" customHeight="1" x14ac:dyDescent="0.25">
      <c r="A32" s="9" t="s">
        <v>62</v>
      </c>
      <c r="B32" s="6" t="s">
        <v>139</v>
      </c>
      <c r="C32" s="7">
        <v>0.03</v>
      </c>
      <c r="D32" s="16" cm="1">
        <f t="array" aca="1" ref="D32" ca="1">INDIRECT(ADDRESS(2,CONTARCOLOR($J$2,E32:I32)))*C32/$E$2</f>
        <v>0.03</v>
      </c>
      <c r="E32" s="17" t="s">
        <v>149</v>
      </c>
      <c r="F32" s="18" t="s">
        <v>72</v>
      </c>
      <c r="G32" s="18"/>
      <c r="H32" s="18"/>
      <c r="I32" s="18" t="s">
        <v>73</v>
      </c>
    </row>
    <row r="33" spans="1:9" ht="124.5" customHeight="1" x14ac:dyDescent="0.25">
      <c r="A33" s="9" t="s">
        <v>63</v>
      </c>
      <c r="B33" s="6" t="s">
        <v>139</v>
      </c>
      <c r="C33" s="7">
        <v>0.04</v>
      </c>
      <c r="D33" s="16" cm="1">
        <f t="array" aca="1" ref="D33" ca="1">INDIRECT(ADDRESS(2,CONTARCOLOR($J$2,E33:I33)))*C33/$E$2</f>
        <v>0.04</v>
      </c>
      <c r="E33" s="17" t="s">
        <v>74</v>
      </c>
      <c r="F33" s="18" t="s">
        <v>75</v>
      </c>
      <c r="G33" s="18" t="s">
        <v>76</v>
      </c>
      <c r="H33" s="18" t="s">
        <v>77</v>
      </c>
      <c r="I33" s="18" t="s">
        <v>78</v>
      </c>
    </row>
    <row r="34" spans="1:9" x14ac:dyDescent="0.25">
      <c r="C34" s="10">
        <f>SUM(C3:C33)</f>
        <v>1.0000000000000004</v>
      </c>
      <c r="D34" s="10">
        <f ca="1">SUM(D3:D33)</f>
        <v>1.0000000000000004</v>
      </c>
    </row>
    <row r="38" spans="1:9" x14ac:dyDescent="0.25">
      <c r="A38" s="11" t="s">
        <v>145</v>
      </c>
      <c r="B38" t="s">
        <v>147</v>
      </c>
      <c r="C38" t="s">
        <v>148</v>
      </c>
      <c r="D38"/>
    </row>
    <row r="39" spans="1:9" x14ac:dyDescent="0.25">
      <c r="A39" s="12" t="s">
        <v>142</v>
      </c>
      <c r="B39">
        <v>1</v>
      </c>
      <c r="C39" s="13">
        <v>2.5210084033613436E-2</v>
      </c>
      <c r="D39" s="13"/>
    </row>
    <row r="40" spans="1:9" x14ac:dyDescent="0.25">
      <c r="A40" s="12" t="s">
        <v>138</v>
      </c>
      <c r="B40">
        <v>6</v>
      </c>
      <c r="C40" s="13">
        <v>0.11764705882352938</v>
      </c>
      <c r="D40" s="13"/>
    </row>
    <row r="41" spans="1:9" x14ac:dyDescent="0.25">
      <c r="A41" s="12" t="s">
        <v>141</v>
      </c>
      <c r="B41">
        <v>14</v>
      </c>
      <c r="C41" s="13">
        <v>0.35294117647058815</v>
      </c>
      <c r="D41" s="13"/>
    </row>
    <row r="42" spans="1:9" x14ac:dyDescent="0.25">
      <c r="A42" s="12" t="s">
        <v>140</v>
      </c>
      <c r="B42">
        <v>1</v>
      </c>
      <c r="C42" s="13">
        <v>0.25210084033613434</v>
      </c>
      <c r="D42" s="13"/>
    </row>
    <row r="43" spans="1:9" x14ac:dyDescent="0.25">
      <c r="A43" s="12" t="s">
        <v>139</v>
      </c>
      <c r="B43">
        <v>9</v>
      </c>
      <c r="C43" s="13">
        <v>0.25210084033613434</v>
      </c>
      <c r="D43" s="13"/>
    </row>
    <row r="44" spans="1:9" x14ac:dyDescent="0.25">
      <c r="A44" s="12" t="s">
        <v>146</v>
      </c>
      <c r="B44">
        <v>31</v>
      </c>
      <c r="C44" s="13">
        <v>1</v>
      </c>
      <c r="D44" s="13"/>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Rúbrica Proyecto 1 - Versión 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FERNANDEZ VALERIO SEBASTIAN JESUS</cp:lastModifiedBy>
  <dcterms:created xsi:type="dcterms:W3CDTF">2021-08-04T01:06:42Z</dcterms:created>
  <dcterms:modified xsi:type="dcterms:W3CDTF">2024-10-01T15:12:03Z</dcterms:modified>
</cp:coreProperties>
</file>