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tudianteccr-my.sharepoint.com/personal/sebasr_ferval_estudiantec_cr/Documents/8 Semestre/Asistencia/Bases de Datos 1/Proyecto 1/Modelo Lógico/"/>
    </mc:Choice>
  </mc:AlternateContent>
  <xr:revisionPtr revIDLastSave="224" documentId="13_ncr:1_{3E350A93-DFDE-4817-8D68-83FE4502B5C9}" xr6:coauthVersionLast="47" xr6:coauthVersionMax="47" xr10:uidLastSave="{46C92EF6-8598-4E73-B900-AC663D4B37AC}"/>
  <bookViews>
    <workbookView xWindow="-108" yWindow="-108" windowWidth="23256" windowHeight="12456" xr2:uid="{00000000-000D-0000-FFFF-FFFF00000000}"/>
  </bookViews>
  <sheets>
    <sheet name="Modelo E-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" l="1"/>
  <c r="C5" i="1" a="1"/>
  <c r="C11" i="1" a="1"/>
  <c r="C11" i="1" l="1"/>
  <c r="C5" i="1"/>
  <c r="C8" i="1" a="1"/>
  <c r="C6" i="1" a="1"/>
  <c r="C7" i="1" a="1"/>
  <c r="C9" i="1" a="1"/>
  <c r="C10" i="1" a="1"/>
  <c r="C9" i="1" l="1"/>
  <c r="C8" i="1"/>
  <c r="C7" i="1"/>
  <c r="C10" i="1"/>
  <c r="C6" i="1"/>
  <c r="C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<sst xmlns="http://schemas.openxmlformats.org/spreadsheetml/2006/main" count="57" uniqueCount="57">
  <si>
    <t>Rubro</t>
  </si>
  <si>
    <t>Descripción</t>
  </si>
  <si>
    <t>Deficiente</t>
  </si>
  <si>
    <t>Peso</t>
  </si>
  <si>
    <t>Muy bueno</t>
  </si>
  <si>
    <t>Aceptable</t>
  </si>
  <si>
    <t>Sobresaliente</t>
  </si>
  <si>
    <t>No aceptable</t>
  </si>
  <si>
    <t>Color Referencia</t>
  </si>
  <si>
    <t>Integrantes:</t>
  </si>
  <si>
    <t>Entidades a tablas</t>
  </si>
  <si>
    <t>Conversión de atributos a atributos</t>
  </si>
  <si>
    <t>Propagación de 1-N</t>
  </si>
  <si>
    <t>Propagación de 1-1</t>
  </si>
  <si>
    <t>Propagación de N-N</t>
  </si>
  <si>
    <t>Llaves primarias</t>
  </si>
  <si>
    <t>Presenta el 100% de las entidades en su forma de tabla.</t>
  </si>
  <si>
    <t>Presenta entre el 99% y el 90% de las entidades en su forma de tabla.</t>
  </si>
  <si>
    <t>Presenta entre el 89% y el 80% de las entidades en su forma de tabla.</t>
  </si>
  <si>
    <t>Presenta el 100% de los atributos de las tablas con su respectivo formato.</t>
  </si>
  <si>
    <t>Presenta entre el 99% y el 90% de los atributos de las tablas con su respectivo formato.</t>
  </si>
  <si>
    <t>Presenta entre el 89% y el 80% de los atributos de las tablas con su respectivo formato.</t>
  </si>
  <si>
    <t>Se encuentran el 100% de las llaves primarias debidamente identificadas en el modelo</t>
  </si>
  <si>
    <t>Se encuentra entre 99% y el 90% de las llaves primarias debidamente identificadas en el modelo</t>
  </si>
  <si>
    <t>Se encuentra entre 89% y el 80% de las llaves primarias debidamente identificadas en el modelo</t>
  </si>
  <si>
    <t>Entre el 99%  y el 90% de las relaciones 1-N presentan una correcta propagación de llave foránea</t>
  </si>
  <si>
    <t>Entre el 89%  y el 80% de las relaciones 1-N presentan una correcta propagación de llave foránea</t>
  </si>
  <si>
    <t>Entre el 99%  y el 90% de las relaciones 1-1 presentan una correcta propagación de llave foránea</t>
  </si>
  <si>
    <t>Entre el 89%  y el 80% de las relaciones 1-1 presentan una correcta propagación de llave foránea</t>
  </si>
  <si>
    <t>Presenta entre el 79% y el 60% de las entidades en su forma de tabla.</t>
  </si>
  <si>
    <t>Presenta menos del 60% de las entidades en su forma de tabla</t>
  </si>
  <si>
    <t>Entre el 79%  y el 60% de las relaciones 1-N presentan una correcta propagación de llave foránea</t>
  </si>
  <si>
    <t>Menos del 60% de las relaciones 1-N presentan una correcta propagación de llave foránea.</t>
  </si>
  <si>
    <t>Entre el 79%  y el 60% de las relaciones 1-1 presentan una correcta propagación de llave foránea</t>
  </si>
  <si>
    <t>Menos del 60% de las relaciones 1-1 presentan una correcta propagación de llave foránea.</t>
  </si>
  <si>
    <t>Se encuentra entre 79% y el 60% de las llaves primarias debidamente identificadas en el modelo</t>
  </si>
  <si>
    <t>Se encuentra menos del 60% de las llaves primarias debidamente identificadas en el modelo</t>
  </si>
  <si>
    <t xml:space="preserve">Presenta entre el 99%  y el 90% de las relaciones N-N con su respectiva tabla y llave compuesta.  </t>
  </si>
  <si>
    <t xml:space="preserve">Presenta entre el 89%  y el 80% de las relaciones N-N con su respectiva tabla y llave compuesta.  </t>
  </si>
  <si>
    <t xml:space="preserve">Presenta entre el 79%  y el 60% de las relaciones N-N con su respectiva tabla y llave compuesta.  </t>
  </si>
  <si>
    <t>Presenta entre el 79% y el 60% de los atributos de las tablas con su respectivo formato.</t>
  </si>
  <si>
    <t>Presenta menos del 60% de los atributos de las tablas con su respectivo formato.</t>
  </si>
  <si>
    <t>Presenta menos del 60% de las relaciones N-N con su respectiva tabla y llave compuesta.</t>
  </si>
  <si>
    <t>El 100% de las relaciones 1-N presentan una correcta propagación de llave foránea. Las referencias están bien nombradas y correctas.</t>
  </si>
  <si>
    <t>El 100% de las relaciones 1-1 presentan una correcta propagación de llave foránea. Las referencias están bien nombradas y correctas.</t>
  </si>
  <si>
    <t xml:space="preserve">Presenta el 100% de las relaciones N-N con su respectiva tabla y llave compuesta. Las referencias están bien nombradas y correctas.  </t>
  </si>
  <si>
    <t>Estándares</t>
  </si>
  <si>
    <t>Cumple con lo anterior pero requiere leves mejoras.</t>
  </si>
  <si>
    <t>Cumple con los estándares en los nombres de entidades y atributos. Los nombres de las entidades están en singular y son significativos.
Todo debe estar en inglés.</t>
  </si>
  <si>
    <t>No cumple con el estándar de representación del modelo conceptual tradicional.
Mezcla representaciones tales como la tradicional y la UML.</t>
  </si>
  <si>
    <t>Cumple con lo anterior de los nombres no son significativos o no cumplen con el estándar.</t>
  </si>
  <si>
    <t>No cumple con estándares en más del 20% del trabajo.</t>
  </si>
  <si>
    <t>Comentarios</t>
  </si>
  <si>
    <t>En tabla Person, según las reglas de conversión vistas en clase, los atributos calculados debe indicarse en el modelo lógico a partir de dónde se calculan, el atributo Age no lo cumple.  En tabla User coloca fk a la tabla Parameter.</t>
  </si>
  <si>
    <t>Como observación, PersonXIdentificationType no debería existir, debería ser una relación de un tipo de identificación a N personas.</t>
  </si>
  <si>
    <t>Como observación, la tabla FlagPhoto es innecesaria, basta relacionar Country con la tabla Photo que ya tienen.</t>
  </si>
  <si>
    <t>En tabla Photo, falta el fk al id_person. En el diagrama conceptual Photo y Person tienen relación 1 a N pero hicieron tabla como si fuera N a 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</si>
</sst>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D090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BB33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158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wrapText="1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9" fontId="0" fillId="0" borderId="0" xfId="1" applyFont="1" applyAlignment="1">
      <alignment vertical="center"/>
    </xf>
    <xf numFmtId="9" fontId="0" fillId="0" borderId="0" xfId="1" applyFont="1"/>
    <xf numFmtId="0" fontId="0" fillId="8" borderId="1" xfId="0" applyFill="1" applyBorder="1" applyAlignment="1">
      <alignment horizontal="center" vertical="center" wrapText="1"/>
    </xf>
    <xf numFmtId="9" fontId="0" fillId="0" borderId="0" xfId="0" applyNumberFormat="1"/>
    <xf numFmtId="0" fontId="0" fillId="0" borderId="0" xfId="0" applyAlignment="1">
      <alignment vertical="center" wrapText="1"/>
    </xf>
    <xf numFmtId="0" fontId="2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5"/>
  <sheetViews>
    <sheetView tabSelected="1" topLeftCell="A2" zoomScale="85" zoomScaleNormal="85" workbookViewId="0">
      <selection activeCell="I7" sqref="I7"/>
    </sheetView>
  </sheetViews>
  <sheetFormatPr baseColWidth="10" defaultColWidth="11.44140625" defaultRowHeight="14.4" x14ac:dyDescent="0.3"/>
  <cols>
    <col min="1" max="1" width="12.109375" bestFit="1" customWidth="1"/>
    <col min="4" max="6" width="37.5546875" style="1" customWidth="1"/>
    <col min="7" max="7" width="31.33203125" style="1" customWidth="1"/>
    <col min="8" max="8" width="31.109375" style="1" customWidth="1"/>
    <col min="9" max="9" width="48.44140625" customWidth="1"/>
    <col min="10" max="10" width="0" hidden="1" customWidth="1"/>
    <col min="11" max="11" width="15.6640625" bestFit="1" customWidth="1"/>
  </cols>
  <sheetData>
    <row r="1" spans="1:10" x14ac:dyDescent="0.3">
      <c r="D1" s="16" t="s">
        <v>1</v>
      </c>
      <c r="E1" s="16"/>
      <c r="F1" s="16"/>
      <c r="G1" s="16"/>
      <c r="H1" s="16"/>
    </row>
    <row r="2" spans="1:10" x14ac:dyDescent="0.3">
      <c r="A2" s="6" t="s">
        <v>0</v>
      </c>
      <c r="B2" s="4" t="s">
        <v>3</v>
      </c>
      <c r="C2" s="5"/>
      <c r="D2" s="13" t="s">
        <v>6</v>
      </c>
      <c r="E2" s="3" t="s">
        <v>4</v>
      </c>
      <c r="F2" s="4" t="s">
        <v>5</v>
      </c>
      <c r="G2" s="5" t="s">
        <v>2</v>
      </c>
      <c r="H2" s="2" t="s">
        <v>7</v>
      </c>
      <c r="J2" t="s">
        <v>8</v>
      </c>
    </row>
    <row r="3" spans="1:10" x14ac:dyDescent="0.3">
      <c r="A3" s="6"/>
      <c r="B3" s="4"/>
      <c r="C3" s="5"/>
      <c r="D3" s="13">
        <v>4</v>
      </c>
      <c r="E3" s="3">
        <v>3</v>
      </c>
      <c r="F3" s="4">
        <v>2</v>
      </c>
      <c r="G3" s="5">
        <v>1</v>
      </c>
      <c r="H3" s="2">
        <v>0</v>
      </c>
      <c r="J3" s="7"/>
    </row>
    <row r="4" spans="1:10" ht="18" x14ac:dyDescent="0.35">
      <c r="A4" s="17" t="s">
        <v>9</v>
      </c>
      <c r="B4" s="17"/>
      <c r="C4" s="17"/>
      <c r="D4" s="17"/>
      <c r="E4" s="17"/>
      <c r="F4" s="17"/>
      <c r="G4" s="17"/>
      <c r="H4" s="17"/>
      <c r="I4" s="14" t="s">
        <v>52</v>
      </c>
    </row>
    <row r="5" spans="1:10" ht="120" customHeight="1" x14ac:dyDescent="0.3">
      <c r="A5" s="12" t="s">
        <v>10</v>
      </c>
      <c r="B5" s="8">
        <v>0.1</v>
      </c>
      <c r="C5" s="8" cm="1">
        <f t="array" aca="1" ref="C5" ca="1">INDIRECT(ADDRESS(3,CONTARCOLOR($J$3,D5:H5)))*B5/$D$3</f>
        <v>0.1</v>
      </c>
      <c r="D5" s="7" t="s">
        <v>16</v>
      </c>
      <c r="E5" s="10" t="s">
        <v>17</v>
      </c>
      <c r="F5" s="10" t="s">
        <v>18</v>
      </c>
      <c r="G5" s="10" t="s">
        <v>29</v>
      </c>
      <c r="H5" s="10" t="s">
        <v>30</v>
      </c>
      <c r="I5" s="15"/>
    </row>
    <row r="6" spans="1:10" ht="120" customHeight="1" x14ac:dyDescent="0.3">
      <c r="A6" s="12" t="s">
        <v>11</v>
      </c>
      <c r="B6" s="8">
        <v>0.1</v>
      </c>
      <c r="C6" s="8" cm="1">
        <f t="array" aca="1" ref="C6" ca="1">INDIRECT(ADDRESS(3,CONTARCOLOR($J$3,D6:H6)))*B6/$D$3</f>
        <v>7.5000000000000011E-2</v>
      </c>
      <c r="D6" s="10" t="s">
        <v>19</v>
      </c>
      <c r="E6" s="7" t="s">
        <v>20</v>
      </c>
      <c r="F6" s="10" t="s">
        <v>21</v>
      </c>
      <c r="G6" s="10" t="s">
        <v>40</v>
      </c>
      <c r="H6" s="10" t="s">
        <v>41</v>
      </c>
      <c r="I6" s="15" t="s">
        <v>53</v>
      </c>
    </row>
    <row r="7" spans="1:10" ht="120" customHeight="1" x14ac:dyDescent="0.3">
      <c r="A7" s="12" t="s">
        <v>12</v>
      </c>
      <c r="B7" s="8">
        <v>0.25</v>
      </c>
      <c r="C7" s="8" cm="1">
        <f t="array" aca="1" ref="C7" ca="1">INDIRECT(ADDRESS(3,CONTARCOLOR($J$3,D7:H7)))*B7/$D$3</f>
        <v>0.1875</v>
      </c>
      <c r="D7" s="10" t="s">
        <v>43</v>
      </c>
      <c r="E7" s="7" t="s">
        <v>25</v>
      </c>
      <c r="F7" s="10" t="s">
        <v>26</v>
      </c>
      <c r="G7" s="10" t="s">
        <v>31</v>
      </c>
      <c r="H7" s="10" t="s">
        <v>32</v>
      </c>
      <c r="I7" s="15" t="s">
        <v>56</v>
      </c>
    </row>
    <row r="8" spans="1:10" ht="120" customHeight="1" x14ac:dyDescent="0.3">
      <c r="A8" s="12" t="s">
        <v>13</v>
      </c>
      <c r="B8" s="8">
        <v>0.1</v>
      </c>
      <c r="C8" s="8" cm="1">
        <f t="array" aca="1" ref="C8" ca="1">INDIRECT(ADDRESS(3,CONTARCOLOR($J$3,D8:H8)))*B8/$D$3</f>
        <v>0.1</v>
      </c>
      <c r="D8" s="7" t="s">
        <v>44</v>
      </c>
      <c r="E8" s="10" t="s">
        <v>27</v>
      </c>
      <c r="F8" s="10" t="s">
        <v>28</v>
      </c>
      <c r="G8" s="10" t="s">
        <v>33</v>
      </c>
      <c r="H8" s="10" t="s">
        <v>34</v>
      </c>
      <c r="I8" s="15" t="s">
        <v>55</v>
      </c>
    </row>
    <row r="9" spans="1:10" ht="120" customHeight="1" x14ac:dyDescent="0.3">
      <c r="A9" s="12" t="s">
        <v>14</v>
      </c>
      <c r="B9" s="8">
        <v>0.25</v>
      </c>
      <c r="C9" s="8" cm="1">
        <f t="array" aca="1" ref="C9" ca="1">INDIRECT(ADDRESS(3,CONTARCOLOR($J$3,D9:H9)))*B9/$D$3</f>
        <v>0.25</v>
      </c>
      <c r="D9" s="7" t="s">
        <v>45</v>
      </c>
      <c r="E9" s="10" t="s">
        <v>37</v>
      </c>
      <c r="F9" s="10" t="s">
        <v>38</v>
      </c>
      <c r="G9" s="10" t="s">
        <v>39</v>
      </c>
      <c r="H9" s="10" t="s">
        <v>42</v>
      </c>
      <c r="I9" s="15" t="s">
        <v>54</v>
      </c>
    </row>
    <row r="10" spans="1:10" ht="120" customHeight="1" x14ac:dyDescent="0.3">
      <c r="A10" s="12" t="s">
        <v>15</v>
      </c>
      <c r="B10" s="8">
        <v>0.1</v>
      </c>
      <c r="C10" s="8" cm="1">
        <f t="array" aca="1" ref="C10" ca="1">INDIRECT(ADDRESS(3,CONTARCOLOR($J$3,D10:H10)))*B10/$D$3</f>
        <v>0.1</v>
      </c>
      <c r="D10" s="7" t="s">
        <v>22</v>
      </c>
      <c r="E10" s="10" t="s">
        <v>23</v>
      </c>
      <c r="F10" s="10" t="s">
        <v>24</v>
      </c>
      <c r="G10" s="10" t="s">
        <v>35</v>
      </c>
      <c r="H10" s="10" t="s">
        <v>36</v>
      </c>
      <c r="I10" s="15"/>
    </row>
    <row r="11" spans="1:10" ht="120" customHeight="1" x14ac:dyDescent="0.3">
      <c r="A11" s="12" t="s">
        <v>46</v>
      </c>
      <c r="B11" s="8">
        <v>0.1</v>
      </c>
      <c r="C11" s="8" cm="1">
        <f t="array" aca="1" ref="C11" ca="1">INDIRECT(ADDRESS(3,CONTARCOLOR($J$3,D11:H11)))*B11/$D$3</f>
        <v>0.1</v>
      </c>
      <c r="D11" s="7" t="s">
        <v>48</v>
      </c>
      <c r="E11" s="10" t="s">
        <v>47</v>
      </c>
      <c r="F11" s="10" t="s">
        <v>50</v>
      </c>
      <c r="G11" s="10" t="s">
        <v>49</v>
      </c>
      <c r="H11" s="10" t="s">
        <v>51</v>
      </c>
      <c r="I11" s="15"/>
    </row>
    <row r="13" spans="1:10" x14ac:dyDescent="0.3">
      <c r="B13" s="9"/>
      <c r="I13" s="1"/>
    </row>
    <row r="14" spans="1:10" x14ac:dyDescent="0.3">
      <c r="B14" s="9">
        <f>SUM(B5:B11)</f>
        <v>1</v>
      </c>
      <c r="C14" s="11">
        <f ca="1">SUM(C5:C11)</f>
        <v>0.91249999999999998</v>
      </c>
      <c r="I14" s="1"/>
    </row>
    <row r="15" spans="1:10" x14ac:dyDescent="0.3">
      <c r="I15" s="1"/>
    </row>
  </sheetData>
  <mergeCells count="2">
    <mergeCell ref="D1:H1"/>
    <mergeCell ref="A4:H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Modelo E-R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Josué Jiménez</dc:creator>
  <cp:lastModifiedBy>FERNANDEZ VALERIO SEBASTIAN JESUS</cp:lastModifiedBy>
  <dcterms:created xsi:type="dcterms:W3CDTF">2017-09-04T23:23:49Z</dcterms:created>
  <dcterms:modified xsi:type="dcterms:W3CDTF">2024-09-26T22:29:01Z</dcterms:modified>
</cp:coreProperties>
</file>